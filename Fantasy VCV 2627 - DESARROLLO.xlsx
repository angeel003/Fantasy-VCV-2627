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ustes" sheetId="1" r:id="rId5"/>
    <sheet state="visible" name="Votos_MVP" sheetId="2" r:id="rId6"/>
    <sheet state="visible" name="Peticiones_Nombre" sheetId="3" r:id="rId7"/>
    <sheet state="visible" name="Resultados Oficiales" sheetId="4" r:id="rId8"/>
    <sheet state="visible" name="Porras" sheetId="5" r:id="rId9"/>
    <sheet state="visible" name="Equipos_Locales" sheetId="6" r:id="rId10"/>
    <sheet state="visible" name="Usuarios" sheetId="7" r:id="rId11"/>
    <sheet state="visible" name="Insignias" sheetId="8" r:id="rId12"/>
    <sheet state="visible" name="Ligas_Equipos" sheetId="9" r:id="rId13"/>
    <sheet state="visible" name="Plantillas" sheetId="10" r:id="rId14"/>
    <sheet state="visible" name="Permisos_Equipos" sheetId="11" r:id="rId15"/>
    <sheet state="visible" name="Ligas" sheetId="12" r:id="rId16"/>
    <sheet state="visible" name="Reglas_Puntuacion" sheetId="13" r:id="rId17"/>
    <sheet state="visible" name="Permisos_Secreta" sheetId="14" r:id="rId18"/>
    <sheet state="visible" name="Predicciones_Secretas" sheetId="15" r:id="rId19"/>
  </sheets>
  <definedNames/>
  <calcPr/>
</workbook>
</file>

<file path=xl/sharedStrings.xml><?xml version="1.0" encoding="utf-8"?>
<sst xmlns="http://schemas.openxmlformats.org/spreadsheetml/2006/main" count="472" uniqueCount="204">
  <si>
    <t>Fecha</t>
  </si>
  <si>
    <t>ID Partido</t>
  </si>
  <si>
    <t>Usuario Actual</t>
  </si>
  <si>
    <t>Nuevo Usuario Sol</t>
  </si>
  <si>
    <t>Nuevo Nombre Sol</t>
  </si>
  <si>
    <t>Estado</t>
  </si>
  <si>
    <t>Ronda Global</t>
  </si>
  <si>
    <t>Equipo Local</t>
  </si>
  <si>
    <t>Sets Oficial</t>
  </si>
  <si>
    <t>Parciales Oficial</t>
  </si>
  <si>
    <t>Rival</t>
  </si>
  <si>
    <t>Jornada Equipo</t>
  </si>
  <si>
    <t>Fecha y Hora</t>
  </si>
  <si>
    <t>Ubicación</t>
  </si>
  <si>
    <t>Visibilidad</t>
  </si>
  <si>
    <t>Categoría</t>
  </si>
  <si>
    <t>ID_Partido</t>
  </si>
  <si>
    <t>Pabellón y Ciudad</t>
  </si>
  <si>
    <t>Frase MVP</t>
  </si>
  <si>
    <t>Usuario</t>
  </si>
  <si>
    <t>Voto</t>
  </si>
  <si>
    <t>1</t>
  </si>
  <si>
    <t>3-1</t>
  </si>
  <si>
    <t>Angeel_003</t>
  </si>
  <si>
    <t>25-20, 25-22, 15-25, 25-19</t>
  </si>
  <si>
    <t>4 - Yeray</t>
  </si>
  <si>
    <t>2</t>
  </si>
  <si>
    <t>3</t>
  </si>
  <si>
    <t>Universidad de Valladolid VCV</t>
  </si>
  <si>
    <t>mandriles</t>
  </si>
  <si>
    <t>18/09/2026 01:37</t>
  </si>
  <si>
    <t>Timestamp</t>
  </si>
  <si>
    <t>CASA</t>
  </si>
  <si>
    <t>Sets</t>
  </si>
  <si>
    <t>Puntos Dif</t>
  </si>
  <si>
    <t>Signo</t>
  </si>
  <si>
    <t>CERRADO</t>
  </si>
  <si>
    <t>21/09/2026 0:46:04</t>
  </si>
  <si>
    <t>Prueba</t>
  </si>
  <si>
    <t>A favor</t>
  </si>
  <si>
    <t>OCULTAR</t>
  </si>
  <si>
    <t>En contra</t>
  </si>
  <si>
    <t>SM2</t>
  </si>
  <si>
    <t>Campus Deportivo Fuente la Mora, Valladolid</t>
  </si>
  <si>
    <t>3-0</t>
  </si>
  <si>
    <t>Michel</t>
  </si>
  <si>
    <t>VALCYL VCV</t>
  </si>
  <si>
    <t>abanto</t>
  </si>
  <si>
    <t>22/09/2026 23:30</t>
  </si>
  <si>
    <t>0-3</t>
  </si>
  <si>
    <t>ABIERTO</t>
  </si>
  <si>
    <t>MOSTRAR</t>
  </si>
  <si>
    <t>Valladolid CV Vacceas</t>
  </si>
  <si>
    <t>mandrilas</t>
  </si>
  <si>
    <t>29/09/2026 18:30</t>
  </si>
  <si>
    <t>FUERA</t>
  </si>
  <si>
    <t>1º Nacional Fem</t>
  </si>
  <si>
    <t>Algun polideportivo en madrid</t>
  </si>
  <si>
    <t>4</t>
  </si>
  <si>
    <t>VPV PARAISO</t>
  </si>
  <si>
    <t>22/09/2026 22:00</t>
  </si>
  <si>
    <t>En la parcela del landa</t>
  </si>
  <si>
    <t>5</t>
  </si>
  <si>
    <t>6</t>
  </si>
  <si>
    <t>7</t>
  </si>
  <si>
    <t>8</t>
  </si>
  <si>
    <t>9</t>
  </si>
  <si>
    <t>10</t>
  </si>
  <si>
    <t>Nombre Equipo</t>
  </si>
  <si>
    <t>Abanto</t>
  </si>
  <si>
    <t>CD San José</t>
  </si>
  <si>
    <t>Password</t>
  </si>
  <si>
    <t>Nombre Real</t>
  </si>
  <si>
    <t>Invitado</t>
  </si>
  <si>
    <t>asfgsdfgajhfrkkjg</t>
  </si>
  <si>
    <t>123</t>
  </si>
  <si>
    <t>Nombre Publico Prueba</t>
  </si>
  <si>
    <t>Admin</t>
  </si>
  <si>
    <t>Soyeladmin12322</t>
  </si>
  <si>
    <t>PruebaSecretos</t>
  </si>
  <si>
    <t>12254344</t>
  </si>
  <si>
    <t>1223</t>
  </si>
  <si>
    <t>Ángel</t>
  </si>
  <si>
    <t>Mario</t>
  </si>
  <si>
    <t>tuPutamadre8</t>
  </si>
  <si>
    <t>Fabi</t>
  </si>
  <si>
    <t>Jugador de</t>
  </si>
  <si>
    <t>Entrenador de</t>
  </si>
  <si>
    <t>Directiva / Staff</t>
  </si>
  <si>
    <t>Exjugador</t>
  </si>
  <si>
    <t>Admin Web</t>
  </si>
  <si>
    <t>Alex</t>
  </si>
  <si>
    <t>Nico</t>
  </si>
  <si>
    <t>Sergio</t>
  </si>
  <si>
    <t>alevin b</t>
  </si>
  <si>
    <t>Directivo (cargo)</t>
  </si>
  <si>
    <t>X</t>
  </si>
  <si>
    <t>Community Manager</t>
  </si>
  <si>
    <t>1ª Nacional Masc.</t>
  </si>
  <si>
    <t>Liga</t>
  </si>
  <si>
    <t>Dorsal</t>
  </si>
  <si>
    <t>Jugador</t>
  </si>
  <si>
    <t>Yeray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</si>
  <si>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</si>
  <si>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</si>
  <si>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</si>
  <si>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</si>
  <si>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</si>
  <si>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</si>
  <si>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</si>
  <si>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</si>
  <si>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</si>
  <si>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</si>
  <si>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</si>
  <si>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</si>
  <si>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</si>
  <si>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</si>
  <si>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</si>
  <si>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</si>
  <si>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</si>
  <si>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</si>
  <si>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</si>
  <si>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</si>
  <si>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</si>
  <si>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</si>
  <si>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</si>
  <si>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</si>
  <si>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</si>
  <si>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</si>
  <si>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</si>
  <si>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</si>
  <si>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</si>
  <si>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</si>
  <si>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</si>
  <si>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</si>
  <si>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</si>
  <si>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</si>
  <si>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</si>
  <si>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</si>
  <si>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</si>
  <si>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</si>
  <si>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</si>
  <si>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</si>
  <si>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</si>
  <si>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</si>
  <si>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</si>
  <si>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</si>
  <si>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</si>
  <si>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</si>
  <si>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</si>
  <si>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</si>
  <si>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</si>
  <si>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</si>
  <si>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</si>
  <si>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</si>
  <si>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</si>
  <si>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</si>
  <si>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</si>
  <si>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</si>
  <si>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</si>
  <si>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</si>
  <si>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</si>
  <si>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</si>
  <si>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</si>
  <si>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</si>
  <si>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</si>
  <si>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Global</t>
  </si>
  <si>
    <t>Entrenadores</t>
  </si>
  <si>
    <t>Jugadores</t>
  </si>
  <si>
    <t>Amigos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</si>
  <si>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</si>
  <si>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</si>
  <si>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</si>
  <si>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</si>
  <si>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</si>
  <si>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</si>
  <si>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</si>
  <si>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</si>
  <si>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</si>
  <si>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</si>
  <si>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</si>
  <si>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</si>
  <si>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</si>
  <si>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</si>
  <si>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</si>
  <si>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</si>
  <si>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</si>
  <si>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</si>
  <si>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</si>
  <si>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</si>
  <si>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</si>
  <si>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</si>
  <si>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</si>
  <si>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</si>
  <si>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</si>
  <si>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</si>
  <si>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Regla</t>
  </si>
  <si>
    <t>Puntos</t>
  </si>
  <si>
    <t>Acertar Sets Exactos</t>
  </si>
  <si>
    <t>Acertar Ganador</t>
  </si>
  <si>
    <t>Acertar Diferencia Exacta</t>
  </si>
  <si>
    <t>Acertar Diferencia (+-5 puntos)</t>
  </si>
  <si>
    <t>Equipo</t>
  </si>
  <si>
    <t>Puntos Predichos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</si>
</sst>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-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49" xfId="0" applyAlignment="1" applyFill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3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readingOrder="0" shrinkToFit="0" wrapText="1"/>
    </xf>
    <xf borderId="0" fillId="3" fontId="1" numFmtId="0" xfId="0" applyAlignment="1" applyFill="1" applyFon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49" xfId="0" applyAlignment="1" applyFont="1" applyNumberFormat="1">
      <alignment readingOrder="0" shrinkToFit="0" wrapText="1"/>
    </xf>
    <xf borderId="0" fillId="0" fontId="4" numFmtId="0" xfId="0" applyAlignment="1" applyFont="1">
      <alignment vertical="bottom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2.13"/>
    <col customWidth="1" min="3" max="3" width="23.13"/>
    <col customWidth="1" min="4" max="4" width="18.63"/>
    <col customWidth="1" min="5" max="5" width="8.25"/>
    <col customWidth="1" min="6" max="6" width="17.5"/>
    <col customWidth="1" min="7" max="7" width="12.5"/>
    <col customWidth="1" min="8" max="8" width="14.63"/>
    <col customWidth="1" min="9" max="9" width="15.0"/>
    <col customWidth="1" min="10" max="10" width="22.63"/>
    <col customWidth="1" min="11" max="11" width="20.88"/>
  </cols>
  <sheetData>
    <row r="1">
      <c r="A1" s="2" t="s">
        <v>1</v>
      </c>
      <c r="B1" s="2" t="s">
        <v>6</v>
      </c>
      <c r="C1" s="4" t="s">
        <v>7</v>
      </c>
      <c r="D1" s="4" t="s">
        <v>10</v>
      </c>
      <c r="E1" s="2" t="s">
        <v>11</v>
      </c>
      <c r="F1" s="2" t="s">
        <v>12</v>
      </c>
      <c r="G1" s="2" t="s">
        <v>13</v>
      </c>
      <c r="H1" s="2" t="s">
        <v>5</v>
      </c>
      <c r="I1" s="4" t="s">
        <v>14</v>
      </c>
      <c r="J1" s="4" t="s">
        <v>15</v>
      </c>
      <c r="K1" s="4" t="s">
        <v>17</v>
      </c>
      <c r="L1" s="4" t="s">
        <v>18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21</v>
      </c>
      <c r="B2" s="7" t="s">
        <v>21</v>
      </c>
      <c r="C2" s="7" t="s">
        <v>28</v>
      </c>
      <c r="D2" s="7" t="s">
        <v>29</v>
      </c>
      <c r="E2" s="7" t="s">
        <v>21</v>
      </c>
      <c r="F2" s="7" t="s">
        <v>30</v>
      </c>
      <c r="G2" s="7" t="s">
        <v>32</v>
      </c>
      <c r="H2" s="7" t="s">
        <v>36</v>
      </c>
      <c r="I2" s="11" t="s">
        <v>40</v>
      </c>
      <c r="J2" s="11" t="s">
        <v>42</v>
      </c>
      <c r="K2" s="11" t="s">
        <v>43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 t="s">
        <v>26</v>
      </c>
      <c r="B3" s="7" t="s">
        <v>21</v>
      </c>
      <c r="C3" s="7" t="s">
        <v>46</v>
      </c>
      <c r="D3" s="7" t="s">
        <v>47</v>
      </c>
      <c r="E3" s="7" t="s">
        <v>21</v>
      </c>
      <c r="F3" s="7" t="s">
        <v>48</v>
      </c>
      <c r="G3" s="7" t="s">
        <v>32</v>
      </c>
      <c r="H3" s="7" t="s">
        <v>50</v>
      </c>
      <c r="I3" s="11" t="s">
        <v>51</v>
      </c>
      <c r="J3" s="11" t="s">
        <v>42</v>
      </c>
      <c r="K3" s="11" t="s">
        <v>43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">
        <v>27</v>
      </c>
      <c r="B4" s="7" t="s">
        <v>21</v>
      </c>
      <c r="C4" s="7" t="s">
        <v>52</v>
      </c>
      <c r="D4" s="7" t="s">
        <v>53</v>
      </c>
      <c r="E4" s="7" t="s">
        <v>21</v>
      </c>
      <c r="F4" s="7" t="s">
        <v>54</v>
      </c>
      <c r="G4" s="7" t="s">
        <v>55</v>
      </c>
      <c r="H4" s="7" t="s">
        <v>50</v>
      </c>
      <c r="I4" s="11" t="s">
        <v>51</v>
      </c>
      <c r="J4" s="11" t="s">
        <v>56</v>
      </c>
      <c r="K4" s="11" t="s">
        <v>57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7" t="s">
        <v>58</v>
      </c>
      <c r="B5" s="7" t="s">
        <v>21</v>
      </c>
      <c r="C5" s="7" t="s">
        <v>28</v>
      </c>
      <c r="D5" s="7" t="s">
        <v>59</v>
      </c>
      <c r="E5" s="7" t="s">
        <v>26</v>
      </c>
      <c r="F5" s="7" t="s">
        <v>60</v>
      </c>
      <c r="G5" s="7" t="s">
        <v>55</v>
      </c>
      <c r="H5" s="7" t="s">
        <v>50</v>
      </c>
      <c r="I5" s="11" t="s">
        <v>51</v>
      </c>
      <c r="J5" s="11" t="s">
        <v>42</v>
      </c>
      <c r="K5" s="11" t="s">
        <v>61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7" t="s">
        <v>62</v>
      </c>
      <c r="B6" s="6"/>
      <c r="C6" s="7"/>
      <c r="D6" s="13"/>
      <c r="E6" s="6"/>
      <c r="F6" s="13"/>
      <c r="G6" s="7"/>
      <c r="H6" s="7" t="s">
        <v>36</v>
      </c>
      <c r="I6" s="11" t="s">
        <v>40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7" t="s">
        <v>63</v>
      </c>
      <c r="B7" s="6"/>
      <c r="C7" s="7"/>
      <c r="D7" s="13"/>
      <c r="E7" s="6"/>
      <c r="F7" s="13"/>
      <c r="G7" s="7"/>
      <c r="H7" s="7" t="s">
        <v>36</v>
      </c>
      <c r="I7" s="11" t="s">
        <v>40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7" t="s">
        <v>64</v>
      </c>
      <c r="B8" s="6"/>
      <c r="C8" s="7"/>
      <c r="D8" s="13"/>
      <c r="E8" s="6"/>
      <c r="F8" s="13"/>
      <c r="G8" s="7"/>
      <c r="H8" s="7" t="s">
        <v>36</v>
      </c>
      <c r="I8" s="11" t="s">
        <v>40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7" t="s">
        <v>65</v>
      </c>
      <c r="B9" s="6"/>
      <c r="C9" s="7"/>
      <c r="D9" s="13"/>
      <c r="E9" s="6"/>
      <c r="F9" s="13"/>
      <c r="G9" s="7"/>
      <c r="H9" s="7" t="s">
        <v>36</v>
      </c>
      <c r="I9" s="11" t="s">
        <v>40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7" t="s">
        <v>66</v>
      </c>
      <c r="B10" s="6"/>
      <c r="C10" s="7"/>
      <c r="D10" s="13"/>
      <c r="E10" s="6"/>
      <c r="F10" s="13"/>
      <c r="G10" s="7"/>
      <c r="H10" s="7" t="s">
        <v>36</v>
      </c>
      <c r="I10" s="11" t="s">
        <v>40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7" t="s">
        <v>67</v>
      </c>
      <c r="B11" s="7"/>
      <c r="C11" s="7"/>
      <c r="D11" s="7"/>
      <c r="E11" s="6"/>
      <c r="F11" s="13"/>
      <c r="G11" s="7"/>
      <c r="H11" s="7" t="s">
        <v>36</v>
      </c>
      <c r="I11" s="7" t="s">
        <v>40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</sheetData>
  <dataValidations>
    <dataValidation type="list" allowBlank="1" showErrorMessage="1" sqref="H2:H11">
      <formula1>"ABIERTO,CERRADO"</formula1>
    </dataValidation>
    <dataValidation type="list" allowBlank="1" showErrorMessage="1" sqref="G2:G11">
      <formula1>"CASA,FUERA"</formula1>
    </dataValidation>
    <dataValidation type="list" allowBlank="1" showErrorMessage="1" sqref="C2:C11">
      <formula1>Equipos_Locales!$A$2:$A$99</formula1>
    </dataValidation>
    <dataValidation type="list" allowBlank="1" showErrorMessage="1" sqref="J2:J11">
      <formula1>"1ª Nacional Masc,1º Nacional Fem,SM2,2ª Nacional Masc,2ª Nacional Fem"</formula1>
    </dataValidation>
    <dataValidation type="list" allowBlank="1" showErrorMessage="1" sqref="I2:I11">
      <formula1>"MOSTRAR,OCULTAR"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16</v>
      </c>
      <c r="C1" s="5" t="s">
        <v>19</v>
      </c>
      <c r="D1" s="5" t="s">
        <v>20</v>
      </c>
    </row>
    <row r="2">
      <c r="A2" s="9">
        <v>46288.02609201389</v>
      </c>
      <c r="B2" s="5">
        <v>4.0</v>
      </c>
      <c r="C2" s="5" t="s">
        <v>23</v>
      </c>
      <c r="D2" s="5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63"/>
  </cols>
  <sheetData>
    <row r="1">
      <c r="A1" s="3" t="s">
        <v>1</v>
      </c>
      <c r="B1" s="3" t="s">
        <v>8</v>
      </c>
      <c r="C1" s="3" t="s">
        <v>9</v>
      </c>
      <c r="D1" s="6"/>
      <c r="E1" s="7"/>
      <c r="F1" s="6"/>
      <c r="G1" s="6"/>
      <c r="H1" s="7"/>
      <c r="I1" s="6"/>
      <c r="J1" s="6"/>
      <c r="K1" s="7"/>
      <c r="L1" s="6"/>
      <c r="M1" s="6"/>
      <c r="N1" s="7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21</v>
      </c>
      <c r="B2" s="7" t="s">
        <v>22</v>
      </c>
      <c r="C2" s="7" t="s">
        <v>24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</cols>
  <sheetData>
    <row r="1">
      <c r="A1" s="3" t="s">
        <v>31</v>
      </c>
      <c r="B1" s="3" t="s">
        <v>19</v>
      </c>
      <c r="C1" s="3" t="s">
        <v>1</v>
      </c>
      <c r="D1" s="3" t="s">
        <v>33</v>
      </c>
      <c r="E1" s="3" t="s">
        <v>34</v>
      </c>
      <c r="F1" s="3" t="s">
        <v>35</v>
      </c>
      <c r="G1" s="3"/>
      <c r="H1" s="10"/>
      <c r="I1" s="10"/>
      <c r="J1" s="3"/>
      <c r="K1" s="10"/>
      <c r="L1" s="10"/>
      <c r="M1" s="3"/>
      <c r="N1" s="10"/>
      <c r="O1" s="10"/>
      <c r="P1" s="3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3" t="s">
        <v>37</v>
      </c>
      <c r="B2" s="3" t="s">
        <v>38</v>
      </c>
      <c r="C2" s="3" t="s">
        <v>21</v>
      </c>
      <c r="D2" s="3" t="s">
        <v>22</v>
      </c>
      <c r="E2" s="3" t="s">
        <v>27</v>
      </c>
      <c r="F2" s="3" t="s">
        <v>39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9">
        <v>46286.524030914356</v>
      </c>
      <c r="B3" s="5" t="s">
        <v>38</v>
      </c>
      <c r="C3" s="5">
        <v>2.0</v>
      </c>
      <c r="D3" s="12">
        <v>46082.0</v>
      </c>
      <c r="E3" s="5">
        <v>2.0</v>
      </c>
      <c r="F3" s="5" t="s">
        <v>39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9">
        <v>46286.524032824076</v>
      </c>
      <c r="B4" s="5" t="s">
        <v>38</v>
      </c>
      <c r="C4" s="5">
        <v>3.0</v>
      </c>
      <c r="D4" s="12">
        <v>46025.0</v>
      </c>
      <c r="E4" s="5">
        <v>13.0</v>
      </c>
      <c r="F4" s="5" t="s">
        <v>41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9">
        <v>46286.52403509259</v>
      </c>
      <c r="B5" s="5" t="s">
        <v>38</v>
      </c>
      <c r="C5" s="5">
        <v>4.0</v>
      </c>
      <c r="D5" s="5" t="s">
        <v>44</v>
      </c>
      <c r="E5" s="5">
        <v>1.0</v>
      </c>
      <c r="F5" s="5" t="s">
        <v>39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9">
        <v>46287.74658229167</v>
      </c>
      <c r="B6" s="5" t="s">
        <v>45</v>
      </c>
      <c r="C6" s="5">
        <v>2.0</v>
      </c>
      <c r="D6" s="12">
        <v>46056.0</v>
      </c>
      <c r="E6" s="5">
        <v>7.0</v>
      </c>
      <c r="F6" s="5" t="s">
        <v>39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9">
        <v>46287.74658424768</v>
      </c>
      <c r="B7" s="5" t="s">
        <v>45</v>
      </c>
      <c r="C7" s="5">
        <v>3.0</v>
      </c>
      <c r="D7" s="5" t="s">
        <v>49</v>
      </c>
      <c r="E7" s="5">
        <v>40.0</v>
      </c>
      <c r="F7" s="5" t="s">
        <v>41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9">
        <v>46287.74658762732</v>
      </c>
      <c r="B8" s="5" t="s">
        <v>45</v>
      </c>
      <c r="C8" s="5">
        <v>4.0</v>
      </c>
      <c r="D8" s="12">
        <v>46082.0</v>
      </c>
      <c r="E8" s="5">
        <v>20.0</v>
      </c>
      <c r="F8" s="5" t="s">
        <v>41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9">
        <v>46288.02700422454</v>
      </c>
      <c r="B9" s="5" t="s">
        <v>23</v>
      </c>
      <c r="C9" s="5">
        <v>3.0</v>
      </c>
      <c r="D9" s="5" t="s">
        <v>44</v>
      </c>
      <c r="E9" s="5">
        <v>3.0</v>
      </c>
      <c r="F9" s="5" t="s">
        <v>41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75"/>
  </cols>
  <sheetData>
    <row r="1">
      <c r="A1" s="5" t="s">
        <v>68</v>
      </c>
    </row>
    <row r="2">
      <c r="A2" s="5" t="s">
        <v>28</v>
      </c>
    </row>
    <row r="3">
      <c r="A3" s="5" t="s">
        <v>46</v>
      </c>
    </row>
    <row r="4">
      <c r="A4" s="5" t="s">
        <v>52</v>
      </c>
    </row>
    <row r="5">
      <c r="A5" s="5" t="s">
        <v>69</v>
      </c>
    </row>
    <row r="6">
      <c r="A6" s="5" t="s">
        <v>70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28.38"/>
  </cols>
  <sheetData>
    <row r="1">
      <c r="A1" s="3" t="s">
        <v>19</v>
      </c>
      <c r="B1" s="3" t="s">
        <v>71</v>
      </c>
      <c r="C1" s="3" t="s">
        <v>72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 t="s">
        <v>73</v>
      </c>
      <c r="B2" s="3" t="s">
        <v>74</v>
      </c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3" t="s">
        <v>38</v>
      </c>
      <c r="B3" s="3" t="s">
        <v>75</v>
      </c>
      <c r="C3" s="3" t="s">
        <v>76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">
        <v>77</v>
      </c>
      <c r="B4" s="3" t="s">
        <v>78</v>
      </c>
      <c r="C4" s="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3" t="s">
        <v>79</v>
      </c>
      <c r="B5" s="3" t="s">
        <v>80</v>
      </c>
      <c r="C5" s="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3" t="s">
        <v>23</v>
      </c>
      <c r="B6" s="3" t="s">
        <v>81</v>
      </c>
      <c r="C6" s="3" t="s">
        <v>82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3" t="s">
        <v>83</v>
      </c>
      <c r="B7" s="3" t="s">
        <v>84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3" t="s">
        <v>85</v>
      </c>
      <c r="B8" s="3" t="s">
        <v>75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3" t="s">
        <v>45</v>
      </c>
      <c r="B9" s="3" t="s">
        <v>75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3" t="s">
        <v>91</v>
      </c>
      <c r="B10" s="3" t="s">
        <v>75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3" t="s">
        <v>92</v>
      </c>
      <c r="B11" s="3" t="s">
        <v>75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3" t="s">
        <v>93</v>
      </c>
      <c r="B12" s="3" t="s">
        <v>75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63"/>
  </cols>
  <sheetData>
    <row r="1">
      <c r="A1" s="5" t="s">
        <v>19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</row>
    <row r="2">
      <c r="A2" s="10" t="str">
        <f t="array" ref="A2:A209">Usuarios!A2:A299</f>
        <v>Invitado</v>
      </c>
    </row>
    <row r="3">
      <c r="A3" s="10" t="s">
        <v>38</v>
      </c>
      <c r="B3" s="5" t="s">
        <v>42</v>
      </c>
      <c r="C3" s="5" t="s">
        <v>94</v>
      </c>
      <c r="D3" s="5" t="s">
        <v>95</v>
      </c>
      <c r="E3" s="5" t="s">
        <v>96</v>
      </c>
    </row>
    <row r="4">
      <c r="A4" s="10" t="s">
        <v>77</v>
      </c>
      <c r="F4" s="5" t="s">
        <v>96</v>
      </c>
    </row>
    <row r="5">
      <c r="A5" s="10" t="s">
        <v>79</v>
      </c>
      <c r="B5" s="5"/>
    </row>
    <row r="6">
      <c r="A6" s="10" t="s">
        <v>23</v>
      </c>
      <c r="E6" s="5" t="s">
        <v>96</v>
      </c>
      <c r="F6" s="5" t="s">
        <v>96</v>
      </c>
    </row>
    <row r="7">
      <c r="A7" s="10" t="s">
        <v>83</v>
      </c>
      <c r="E7" s="5" t="s">
        <v>96</v>
      </c>
      <c r="F7" s="5"/>
    </row>
    <row r="8">
      <c r="A8" s="10" t="s">
        <v>85</v>
      </c>
      <c r="B8" s="5" t="s">
        <v>42</v>
      </c>
    </row>
    <row r="9">
      <c r="A9" s="10" t="s">
        <v>45</v>
      </c>
      <c r="D9" s="5" t="s">
        <v>97</v>
      </c>
      <c r="E9" s="5" t="s">
        <v>96</v>
      </c>
    </row>
    <row r="10">
      <c r="A10" s="10" t="s">
        <v>91</v>
      </c>
      <c r="B10" s="5" t="s">
        <v>42</v>
      </c>
    </row>
    <row r="11">
      <c r="A11" s="10" t="s">
        <v>92</v>
      </c>
      <c r="B11" s="5" t="s">
        <v>98</v>
      </c>
    </row>
    <row r="12">
      <c r="A12" s="10" t="s">
        <v>93</v>
      </c>
      <c r="B12" s="5" t="s">
        <v>42</v>
      </c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5" t="s">
        <v>99</v>
      </c>
      <c r="B1" s="14" t="str">
        <f>IFERROR(__xludf.DUMMYFUNCTION("TRANSPOSE(FILTER(Equipos_Locales!A2:A319, Equipos_Locales!A2:A319&lt;&gt;""""))"),"Universidad de Valladolid VCV")</f>
        <v>Universidad de Valladolid VCV</v>
      </c>
      <c r="C1" s="14" t="str">
        <f>IFERROR(__xludf.DUMMYFUNCTION("""COMPUTED_VALUE"""),"VALCYL VCV")</f>
        <v>VALCYL VCV</v>
      </c>
      <c r="D1" s="14" t="str">
        <f>IFERROR(__xludf.DUMMYFUNCTION("""COMPUTED_VALUE"""),"Valladolid CV Vacceas")</f>
        <v>Valladolid CV Vacceas</v>
      </c>
      <c r="E1" s="14" t="str">
        <f>IFERROR(__xludf.DUMMYFUNCTION("""COMPUTED_VALUE"""),"Abanto")</f>
        <v>Abanto</v>
      </c>
      <c r="F1" s="14" t="str">
        <f>IFERROR(__xludf.DUMMYFUNCTION("""COMPUTED_VALUE"""),"CD San José")</f>
        <v>CD San José</v>
      </c>
    </row>
    <row r="2">
      <c r="A2" s="14" t="str">
        <f>IFERROR(__xludf.DUMMYFUNCTION("TRANSPOSE(FILTER(Ligas!B1:Z1, Ligas!B1:Z1&lt;&gt;""""))"),"Global")</f>
        <v>Global</v>
      </c>
      <c r="B2" s="5" t="s">
        <v>96</v>
      </c>
      <c r="C2" s="5" t="s">
        <v>96</v>
      </c>
      <c r="D2" s="5" t="s">
        <v>96</v>
      </c>
    </row>
    <row r="3">
      <c r="A3" s="14" t="str">
        <f>IFERROR(__xludf.DUMMYFUNCTION("""COMPUTED_VALUE"""),"Entrenadores")</f>
        <v>Entrenadores</v>
      </c>
      <c r="B3" s="5" t="s">
        <v>96</v>
      </c>
      <c r="C3" s="5" t="s">
        <v>96</v>
      </c>
      <c r="D3" s="5" t="s">
        <v>96</v>
      </c>
    </row>
    <row r="4">
      <c r="A4" s="14" t="str">
        <f>IFERROR(__xludf.DUMMYFUNCTION("""COMPUTED_VALUE"""),"Jugadores")</f>
        <v>Jugadores</v>
      </c>
      <c r="B4" s="5" t="s">
        <v>96</v>
      </c>
      <c r="C4" s="5" t="s">
        <v>96</v>
      </c>
      <c r="D4" s="5" t="s">
        <v>96</v>
      </c>
    </row>
    <row r="5">
      <c r="A5" s="14" t="str">
        <f>IFERROR(__xludf.DUMMYFUNCTION("""COMPUTED_VALUE"""),"Amigos")</f>
        <v>Amigos</v>
      </c>
      <c r="B5" s="5" t="s">
        <v>96</v>
      </c>
      <c r="C5" s="5" t="s">
        <v>96</v>
      </c>
      <c r="D5" s="5" t="s">
        <v>96</v>
      </c>
      <c r="E5" s="5" t="s">
        <v>96</v>
      </c>
      <c r="F5" s="5" t="s">
        <v>96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6" width="16.75"/>
  </cols>
  <sheetData>
    <row r="1">
      <c r="A1" s="7" t="s">
        <v>100</v>
      </c>
      <c r="B1" s="6" t="str">
        <f t="array" ref="B1:Z1">Permisos_Equipos!B1:Z1</f>
        <v>Universidad de Valladolid VCV</v>
      </c>
      <c r="C1" s="6" t="s">
        <v>46</v>
      </c>
      <c r="D1" s="6" t="s">
        <v>52</v>
      </c>
      <c r="E1" s="6" t="s">
        <v>69</v>
      </c>
      <c r="F1" s="6" t="s">
        <v>70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58</v>
      </c>
      <c r="B5" s="7" t="s">
        <v>102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114</v>
      </c>
      <c r="B23" s="7" t="s">
        <v>82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116</v>
      </c>
      <c r="B25" s="7" t="s">
        <v>45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155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156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157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158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159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160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161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162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163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164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165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170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171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172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173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174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175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176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177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178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179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180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181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182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183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184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185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186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187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188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189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190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191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192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193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194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195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</cols>
  <sheetData>
    <row r="1">
      <c r="A1" s="7" t="s">
        <v>101</v>
      </c>
      <c r="B1" s="7" t="s">
        <v>28</v>
      </c>
      <c r="C1" s="7" t="s">
        <v>46</v>
      </c>
      <c r="D1" s="7" t="s">
        <v>52</v>
      </c>
      <c r="E1" s="7" t="s">
        <v>69</v>
      </c>
      <c r="F1" s="7" t="s">
        <v>70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73</v>
      </c>
      <c r="B2" s="7" t="s">
        <v>96</v>
      </c>
      <c r="C2" s="7" t="s">
        <v>96</v>
      </c>
      <c r="D2" s="7" t="s">
        <v>96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38</v>
      </c>
      <c r="B3" s="7" t="s">
        <v>96</v>
      </c>
      <c r="C3" s="7" t="s">
        <v>96</v>
      </c>
      <c r="D3" s="7" t="s">
        <v>96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5" t="s">
        <v>77</v>
      </c>
      <c r="B4" s="7" t="s">
        <v>96</v>
      </c>
      <c r="C4" s="7" t="s">
        <v>96</v>
      </c>
      <c r="D4" s="7" t="s">
        <v>96</v>
      </c>
      <c r="E4" s="7" t="s">
        <v>96</v>
      </c>
      <c r="F4" s="7" t="s">
        <v>96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79</v>
      </c>
      <c r="B5" s="7"/>
      <c r="C5" s="7"/>
      <c r="D5" s="7"/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23</v>
      </c>
      <c r="B6" s="7" t="s">
        <v>96</v>
      </c>
      <c r="C6" s="7" t="s">
        <v>96</v>
      </c>
      <c r="D6" s="7" t="s">
        <v>96</v>
      </c>
      <c r="E6" s="7" t="s">
        <v>96</v>
      </c>
      <c r="F6" s="7" t="s">
        <v>96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83</v>
      </c>
      <c r="B7" s="7" t="s">
        <v>96</v>
      </c>
      <c r="C7" s="7" t="s">
        <v>96</v>
      </c>
      <c r="D7" s="7" t="s">
        <v>96</v>
      </c>
      <c r="E7" s="7" t="s">
        <v>96</v>
      </c>
      <c r="F7" s="7" t="s">
        <v>96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85</v>
      </c>
      <c r="B8" s="7" t="s">
        <v>96</v>
      </c>
      <c r="C8" s="7" t="s">
        <v>96</v>
      </c>
      <c r="D8" s="7" t="s">
        <v>96</v>
      </c>
      <c r="E8" s="7" t="s">
        <v>96</v>
      </c>
      <c r="F8" s="7" t="s">
        <v>96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45</v>
      </c>
      <c r="B9" s="7" t="s">
        <v>96</v>
      </c>
      <c r="C9" s="7" t="s">
        <v>96</v>
      </c>
      <c r="D9" s="7" t="s">
        <v>96</v>
      </c>
      <c r="E9" s="7" t="s">
        <v>96</v>
      </c>
      <c r="F9" s="7" t="s">
        <v>96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91</v>
      </c>
      <c r="B10" s="7" t="s">
        <v>96</v>
      </c>
      <c r="C10" s="7" t="s">
        <v>96</v>
      </c>
      <c r="D10" s="7" t="s">
        <v>96</v>
      </c>
      <c r="E10" s="7" t="s">
        <v>96</v>
      </c>
      <c r="F10" s="7" t="s">
        <v>96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92</v>
      </c>
      <c r="B11" s="7" t="s">
        <v>96</v>
      </c>
      <c r="C11" s="7" t="s">
        <v>96</v>
      </c>
      <c r="D11" s="7" t="s">
        <v>96</v>
      </c>
      <c r="E11" s="7" t="s">
        <v>96</v>
      </c>
      <c r="F11" s="7" t="s">
        <v>96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93</v>
      </c>
      <c r="B12" s="7" t="s">
        <v>96</v>
      </c>
      <c r="C12" s="7" t="s">
        <v>96</v>
      </c>
      <c r="D12" s="7" t="s">
        <v>96</v>
      </c>
      <c r="E12" s="7" t="s">
        <v>96</v>
      </c>
      <c r="F12" s="7" t="s">
        <v>96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5" t="s">
        <v>101</v>
      </c>
      <c r="B1" s="5" t="s">
        <v>166</v>
      </c>
      <c r="C1" s="5" t="s">
        <v>167</v>
      </c>
      <c r="D1" s="5" t="s">
        <v>168</v>
      </c>
      <c r="E1" s="5" t="s">
        <v>169</v>
      </c>
    </row>
    <row r="2">
      <c r="A2" s="10" t="str">
        <f>IFERROR(__xludf.DUMMYFUNCTION("FILTER(Usuarios!A2:A393, Usuarios!A2:A393&lt;&gt;"""")"),"Invitado")</f>
        <v>Invitado</v>
      </c>
    </row>
    <row r="3">
      <c r="A3" s="10" t="str">
        <f>IFERROR(__xludf.DUMMYFUNCTION("""COMPUTED_VALUE"""),"Prueba")</f>
        <v>Prueba</v>
      </c>
      <c r="B3" s="5" t="s">
        <v>96</v>
      </c>
      <c r="C3" s="5" t="s">
        <v>96</v>
      </c>
      <c r="D3" s="5" t="s">
        <v>96</v>
      </c>
    </row>
    <row r="4">
      <c r="A4" s="10" t="str">
        <f>IFERROR(__xludf.DUMMYFUNCTION("""COMPUTED_VALUE"""),"Admin")</f>
        <v>Admin</v>
      </c>
    </row>
    <row r="5">
      <c r="A5" s="10" t="str">
        <f>IFERROR(__xludf.DUMMYFUNCTION("""COMPUTED_VALUE"""),"PruebaSecretos")</f>
        <v>PruebaSecretos</v>
      </c>
    </row>
    <row r="6">
      <c r="A6" s="10" t="str">
        <f>IFERROR(__xludf.DUMMYFUNCTION("""COMPUTED_VALUE"""),"Angeel_003")</f>
        <v>Angeel_003</v>
      </c>
      <c r="B6" s="5" t="s">
        <v>96</v>
      </c>
      <c r="D6" s="5"/>
      <c r="E6" s="5" t="s">
        <v>96</v>
      </c>
    </row>
    <row r="7">
      <c r="A7" s="10" t="str">
        <f>IFERROR(__xludf.DUMMYFUNCTION("""COMPUTED_VALUE"""),"Mario")</f>
        <v>Mario</v>
      </c>
      <c r="B7" s="5" t="s">
        <v>96</v>
      </c>
      <c r="D7" s="5"/>
      <c r="E7" s="5" t="s">
        <v>96</v>
      </c>
    </row>
    <row r="8">
      <c r="A8" s="10" t="str">
        <f>IFERROR(__xludf.DUMMYFUNCTION("""COMPUTED_VALUE"""),"Fabi")</f>
        <v>Fabi</v>
      </c>
      <c r="B8" s="5" t="s">
        <v>96</v>
      </c>
      <c r="D8" s="5" t="s">
        <v>96</v>
      </c>
      <c r="E8" s="5" t="s">
        <v>96</v>
      </c>
    </row>
    <row r="9">
      <c r="A9" s="10" t="str">
        <f>IFERROR(__xludf.DUMMYFUNCTION("""COMPUTED_VALUE"""),"Michel")</f>
        <v>Michel</v>
      </c>
      <c r="B9" s="5" t="s">
        <v>96</v>
      </c>
      <c r="D9" s="5"/>
      <c r="E9" s="5" t="s">
        <v>96</v>
      </c>
    </row>
    <row r="10">
      <c r="A10" s="10" t="str">
        <f>IFERROR(__xludf.DUMMYFUNCTION("""COMPUTED_VALUE"""),"Alex")</f>
        <v>Alex</v>
      </c>
      <c r="B10" s="5" t="s">
        <v>96</v>
      </c>
      <c r="D10" s="5" t="s">
        <v>96</v>
      </c>
      <c r="E10" s="5" t="s">
        <v>96</v>
      </c>
    </row>
    <row r="11">
      <c r="A11" s="10" t="str">
        <f>IFERROR(__xludf.DUMMYFUNCTION("""COMPUTED_VALUE"""),"Nico")</f>
        <v>Nico</v>
      </c>
      <c r="B11" s="5" t="s">
        <v>96</v>
      </c>
      <c r="D11" s="5" t="s">
        <v>96</v>
      </c>
      <c r="E11" s="5" t="s">
        <v>96</v>
      </c>
    </row>
    <row r="12">
      <c r="A12" s="10" t="str">
        <f>IFERROR(__xludf.DUMMYFUNCTION("""COMPUTED_VALUE"""),"Sergio")</f>
        <v>Sergio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</cols>
  <sheetData>
    <row r="1">
      <c r="A1" s="11" t="s">
        <v>196</v>
      </c>
      <c r="B1" s="11" t="s">
        <v>197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1" t="s">
        <v>198</v>
      </c>
      <c r="B2" s="11">
        <v>3.0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1" t="s">
        <v>199</v>
      </c>
      <c r="B3" s="11">
        <v>1.0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1" t="s">
        <v>200</v>
      </c>
      <c r="B4" s="11">
        <v>3.0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1" t="s">
        <v>201</v>
      </c>
      <c r="B5" s="11">
        <v>2.0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5" t="s">
        <v>19</v>
      </c>
      <c r="B1" s="10" t="str">
        <f t="array" ref="B1:Z1">Permisos_Equipos!B1:Z1</f>
        <v>Universidad de Valladolid VCV</v>
      </c>
      <c r="C1" s="10" t="s">
        <v>46</v>
      </c>
      <c r="D1" s="10" t="s">
        <v>52</v>
      </c>
      <c r="E1" s="10" t="s">
        <v>69</v>
      </c>
      <c r="F1" s="10" t="s">
        <v>70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 t="str">
        <f t="array" ref="A2:A209">Usuarios!A2:A453</f>
        <v>Invitado</v>
      </c>
    </row>
    <row r="3">
      <c r="A3" s="10" t="s">
        <v>38</v>
      </c>
    </row>
    <row r="4">
      <c r="A4" s="10" t="s">
        <v>77</v>
      </c>
      <c r="B4" s="5" t="s">
        <v>96</v>
      </c>
      <c r="C4" s="5" t="s">
        <v>96</v>
      </c>
      <c r="D4" s="5" t="s">
        <v>96</v>
      </c>
      <c r="E4" s="5" t="s">
        <v>96</v>
      </c>
      <c r="F4" s="5" t="s">
        <v>96</v>
      </c>
    </row>
    <row r="5">
      <c r="A5" s="10" t="s">
        <v>79</v>
      </c>
    </row>
    <row r="6">
      <c r="A6" s="10" t="s">
        <v>23</v>
      </c>
      <c r="B6" s="5" t="s">
        <v>96</v>
      </c>
      <c r="C6" s="5" t="s">
        <v>96</v>
      </c>
      <c r="D6" s="5" t="s">
        <v>96</v>
      </c>
      <c r="E6" s="5" t="s">
        <v>96</v>
      </c>
      <c r="F6" s="5" t="s">
        <v>96</v>
      </c>
    </row>
    <row r="7">
      <c r="A7" s="10" t="s">
        <v>83</v>
      </c>
      <c r="B7" s="5" t="s">
        <v>96</v>
      </c>
      <c r="C7" s="5" t="s">
        <v>96</v>
      </c>
      <c r="D7" s="5" t="s">
        <v>96</v>
      </c>
      <c r="E7" s="5" t="s">
        <v>96</v>
      </c>
      <c r="F7" s="5" t="s">
        <v>96</v>
      </c>
    </row>
    <row r="8">
      <c r="A8" s="10" t="s">
        <v>85</v>
      </c>
      <c r="B8" s="5" t="s">
        <v>96</v>
      </c>
      <c r="C8" s="5" t="s">
        <v>96</v>
      </c>
      <c r="D8" s="5" t="s">
        <v>96</v>
      </c>
      <c r="E8" s="5" t="s">
        <v>96</v>
      </c>
      <c r="F8" s="5" t="s">
        <v>96</v>
      </c>
    </row>
    <row r="9">
      <c r="A9" s="10" t="s">
        <v>45</v>
      </c>
      <c r="B9" s="5" t="s">
        <v>96</v>
      </c>
      <c r="C9" s="5" t="s">
        <v>96</v>
      </c>
      <c r="D9" s="5" t="s">
        <v>96</v>
      </c>
      <c r="E9" s="5" t="s">
        <v>96</v>
      </c>
      <c r="F9" s="5" t="s">
        <v>96</v>
      </c>
    </row>
    <row r="10">
      <c r="A10" s="10" t="s">
        <v>91</v>
      </c>
      <c r="B10" s="5" t="s">
        <v>96</v>
      </c>
      <c r="C10" s="5" t="s">
        <v>96</v>
      </c>
      <c r="D10" s="5" t="s">
        <v>96</v>
      </c>
      <c r="E10" s="5" t="s">
        <v>96</v>
      </c>
      <c r="F10" s="5" t="s">
        <v>96</v>
      </c>
    </row>
    <row r="11">
      <c r="A11" s="10" t="s">
        <v>92</v>
      </c>
      <c r="B11" s="5" t="s">
        <v>96</v>
      </c>
      <c r="C11" s="5" t="s">
        <v>96</v>
      </c>
      <c r="D11" s="5" t="s">
        <v>96</v>
      </c>
      <c r="E11" s="5" t="s">
        <v>96</v>
      </c>
      <c r="F11" s="5" t="s">
        <v>96</v>
      </c>
    </row>
    <row r="12">
      <c r="A12" s="10" t="s">
        <v>93</v>
      </c>
      <c r="B12" s="16" t="s">
        <v>96</v>
      </c>
      <c r="C12" s="16" t="s">
        <v>96</v>
      </c>
      <c r="D12" s="16" t="s">
        <v>96</v>
      </c>
      <c r="E12" s="16" t="s">
        <v>96</v>
      </c>
      <c r="F12" s="16" t="s">
        <v>96</v>
      </c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20.63"/>
    <col customWidth="1" min="3" max="3" width="19.5"/>
    <col customWidth="1" min="4" max="4" width="18.38"/>
  </cols>
  <sheetData>
    <row r="1">
      <c r="A1" s="17" t="s">
        <v>0</v>
      </c>
      <c r="B1" s="17" t="s">
        <v>19</v>
      </c>
      <c r="C1" s="17" t="s">
        <v>202</v>
      </c>
      <c r="D1" s="17" t="s">
        <v>203</v>
      </c>
    </row>
    <row r="2">
      <c r="A2" s="9">
        <v>46286.93178623843</v>
      </c>
      <c r="B2" s="5" t="s">
        <v>83</v>
      </c>
      <c r="C2" s="5" t="s">
        <v>28</v>
      </c>
      <c r="D2" s="5">
        <v>32.0</v>
      </c>
    </row>
    <row r="3">
      <c r="A3" s="9">
        <v>46286.931787615744</v>
      </c>
      <c r="B3" s="5" t="s">
        <v>83</v>
      </c>
      <c r="C3" s="5" t="s">
        <v>46</v>
      </c>
      <c r="D3" s="5">
        <v>24.0</v>
      </c>
    </row>
    <row r="4">
      <c r="A4" s="9">
        <v>46286.931791400464</v>
      </c>
      <c r="B4" s="5" t="s">
        <v>83</v>
      </c>
      <c r="C4" s="5" t="s">
        <v>52</v>
      </c>
      <c r="D4" s="5">
        <v>2.0</v>
      </c>
    </row>
    <row r="5">
      <c r="A5" s="9">
        <v>46288.0274455787</v>
      </c>
      <c r="B5" s="5" t="s">
        <v>23</v>
      </c>
      <c r="C5" s="5" t="s">
        <v>28</v>
      </c>
      <c r="D5" s="5">
        <v>28.0</v>
      </c>
    </row>
    <row r="6">
      <c r="A6" s="9">
        <v>46288.027452291666</v>
      </c>
      <c r="B6" s="5" t="s">
        <v>23</v>
      </c>
      <c r="C6" s="5" t="s">
        <v>46</v>
      </c>
      <c r="D6" s="5">
        <v>25.0</v>
      </c>
    </row>
    <row r="7">
      <c r="A7" s="9">
        <v>46288.027455601856</v>
      </c>
      <c r="B7" s="5" t="s">
        <v>23</v>
      </c>
      <c r="C7" s="5" t="s">
        <v>52</v>
      </c>
      <c r="D7" s="5">
        <v>21.0</v>
      </c>
    </row>
    <row r="8">
      <c r="A8" s="9">
        <v>46288.027458807876</v>
      </c>
      <c r="B8" s="5" t="s">
        <v>23</v>
      </c>
      <c r="C8" s="5" t="s">
        <v>70</v>
      </c>
      <c r="D8" s="5">
        <v>2.0</v>
      </c>
    </row>
  </sheetData>
  <drawing r:id="rId1"/>
</worksheet>
</file>